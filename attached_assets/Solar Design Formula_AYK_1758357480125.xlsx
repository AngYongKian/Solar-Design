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cmalaysia-my.sharepoint.com/personal/yongkian_ang_ev-connection_com/Documents/Desktop/EVC/Calculator/"/>
    </mc:Choice>
  </mc:AlternateContent>
  <xr:revisionPtr revIDLastSave="138" documentId="8_{38453F5F-F83E-488C-83EB-58C5A9953A55}" xr6:coauthVersionLast="47" xr6:coauthVersionMax="47" xr10:uidLastSave="{18E742C8-015C-4027-B026-7E8D597FF84A}"/>
  <bookViews>
    <workbookView xWindow="32280" yWindow="-120" windowWidth="29040" windowHeight="15720" activeTab="2" xr2:uid="{57527A39-849F-408F-A416-81DB82B91E1D}"/>
  </bookViews>
  <sheets>
    <sheet name="Space Based Calculation" sheetId="2" r:id="rId1"/>
    <sheet name="Inverter Sizing" sheetId="1" r:id="rId2"/>
    <sheet name="Cable siz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3" l="1"/>
  <c r="E24" i="3" s="1"/>
  <c r="E31" i="3"/>
  <c r="E35" i="3" s="1"/>
  <c r="D37" i="1"/>
  <c r="D34" i="1" l="1"/>
  <c r="D38" i="1" s="1"/>
  <c r="D49" i="1"/>
  <c r="D45" i="1"/>
  <c r="D53" i="1"/>
  <c r="K45" i="1"/>
  <c r="D36" i="1" l="1"/>
  <c r="D39" i="1" s="1"/>
  <c r="M68" i="1"/>
  <c r="M67" i="1"/>
  <c r="M66" i="1"/>
  <c r="M65" i="1"/>
  <c r="I61" i="1"/>
  <c r="K53" i="1"/>
  <c r="K49" i="1"/>
  <c r="K37" i="1"/>
  <c r="K41" i="1" s="1"/>
  <c r="K36" i="1"/>
  <c r="K35" i="1"/>
  <c r="K42" i="1" s="1"/>
  <c r="K34" i="1"/>
  <c r="B61" i="1"/>
  <c r="D62" i="1"/>
  <c r="D41" i="1"/>
  <c r="D35" i="1"/>
  <c r="D42" i="1" s="1"/>
  <c r="C24" i="2"/>
  <c r="K44" i="1" l="1"/>
  <c r="K39" i="1"/>
  <c r="K40" i="1"/>
  <c r="I58" i="1"/>
  <c r="K62" i="1"/>
  <c r="K63" i="1" s="1"/>
  <c r="K64" i="1" s="1"/>
  <c r="K38" i="1"/>
  <c r="D63" i="1"/>
  <c r="D64" i="1" s="1"/>
  <c r="B58" i="1"/>
  <c r="D40" i="1"/>
  <c r="D43" i="1" s="1"/>
  <c r="D46" i="1" s="1"/>
  <c r="D44" i="1"/>
  <c r="F68" i="1"/>
  <c r="F67" i="1"/>
  <c r="F66" i="1"/>
  <c r="F65" i="1"/>
  <c r="C14" i="2"/>
  <c r="C15" i="2"/>
  <c r="C18" i="2"/>
  <c r="C19" i="2"/>
  <c r="I50" i="3"/>
  <c r="I49" i="3"/>
  <c r="I51" i="3" s="1"/>
  <c r="I52" i="3" s="1"/>
  <c r="G49" i="3"/>
  <c r="E4" i="3"/>
  <c r="E11" i="3" l="1"/>
  <c r="E12" i="3" s="1"/>
  <c r="K43" i="1"/>
  <c r="K46" i="1" s="1"/>
  <c r="D47" i="1"/>
  <c r="D54" i="1" s="1"/>
  <c r="C16" i="2"/>
  <c r="C20" i="2"/>
  <c r="E13" i="3" l="1"/>
  <c r="E14" i="3" s="1"/>
  <c r="K47" i="1"/>
  <c r="K54" i="1" s="1"/>
  <c r="K67" i="1" s="1"/>
  <c r="N67" i="1" s="1"/>
  <c r="I59" i="1"/>
  <c r="K48" i="1"/>
  <c r="D48" i="1"/>
  <c r="D66" i="1"/>
  <c r="G66" i="1" s="1"/>
  <c r="B59" i="1"/>
  <c r="D68" i="1"/>
  <c r="G68" i="1" s="1"/>
  <c r="D67" i="1"/>
  <c r="G67" i="1" s="1"/>
  <c r="D65" i="1"/>
  <c r="G65" i="1" s="1"/>
  <c r="C23" i="2"/>
  <c r="K68" i="1" l="1"/>
  <c r="N68" i="1" s="1"/>
  <c r="I60" i="1"/>
  <c r="K65" i="1"/>
  <c r="N65" i="1" s="1"/>
  <c r="K66" i="1"/>
  <c r="N66" i="1" s="1"/>
  <c r="C22" i="2"/>
  <c r="B6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7" authorId="0" shapeId="0" xr:uid="{2FAC69DF-95C4-440C-9454-9907276B9A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factor:
1.25 according to Seda</t>
        </r>
      </text>
    </comment>
    <comment ref="K27" authorId="0" shapeId="0" xr:uid="{CBB97330-7BA8-4B5F-A311-5CAAD95AA4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factor:
1.25 according to Seda</t>
        </r>
      </text>
    </comment>
    <comment ref="D45" authorId="0" shapeId="0" xr:uid="{4EE25BB2-157F-462F-ADE8-BA98913B7D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Assume 70% if Vrated is not provided
</t>
        </r>
      </text>
    </comment>
    <comment ref="K45" authorId="0" shapeId="0" xr:uid="{74170EDA-4B0D-4975-995C-779CD3A2B4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Assume 70% if Vrated is not provided
</t>
        </r>
      </text>
    </comment>
  </commentList>
</comments>
</file>

<file path=xl/sharedStrings.xml><?xml version="1.0" encoding="utf-8"?>
<sst xmlns="http://schemas.openxmlformats.org/spreadsheetml/2006/main" count="409" uniqueCount="181">
  <si>
    <t>Roof Length</t>
  </si>
  <si>
    <t>L_roof</t>
  </si>
  <si>
    <t>mm</t>
  </si>
  <si>
    <t>Roof Width</t>
  </si>
  <si>
    <t>W_roof</t>
  </si>
  <si>
    <t>Panel Length</t>
  </si>
  <si>
    <t>L_panel</t>
  </si>
  <si>
    <t>Panel Width</t>
  </si>
  <si>
    <t>W_panel</t>
  </si>
  <si>
    <t>Distance between row</t>
  </si>
  <si>
    <t>D_r</t>
  </si>
  <si>
    <t>Distance between column</t>
  </si>
  <si>
    <t>D_c</t>
  </si>
  <si>
    <t>PV panel power</t>
  </si>
  <si>
    <t>P_pv</t>
  </si>
  <si>
    <t>W</t>
  </si>
  <si>
    <t>Landsacpe</t>
  </si>
  <si>
    <t>N_across</t>
  </si>
  <si>
    <t>nos</t>
  </si>
  <si>
    <t>N_up</t>
  </si>
  <si>
    <t>N_panel</t>
  </si>
  <si>
    <t>Potrait</t>
  </si>
  <si>
    <t>Summary</t>
  </si>
  <si>
    <t>Optimum Orientation</t>
  </si>
  <si>
    <t>Optimum panel number</t>
  </si>
  <si>
    <t>System power</t>
  </si>
  <si>
    <t>kWp</t>
  </si>
  <si>
    <t>Proceed to "Inverter Sizing" tab for final system configuration</t>
  </si>
  <si>
    <t>Inverter No</t>
  </si>
  <si>
    <t>Inverter Model</t>
  </si>
  <si>
    <t>SUN2000-100KTL-M2</t>
  </si>
  <si>
    <t>SUN2000-50KTL-M3</t>
  </si>
  <si>
    <t>Panel Model</t>
  </si>
  <si>
    <t>Jinko JKM590N-72HL4</t>
  </si>
  <si>
    <t>Panel Parameter</t>
  </si>
  <si>
    <t>DATA</t>
  </si>
  <si>
    <t>VALUE</t>
  </si>
  <si>
    <t>PV panel max power</t>
  </si>
  <si>
    <t>Pmax_stc</t>
  </si>
  <si>
    <t>PV panel open circuit voltage</t>
  </si>
  <si>
    <t>Voc_stc</t>
  </si>
  <si>
    <t>V</t>
  </si>
  <si>
    <t>PV panel max power voltage</t>
  </si>
  <si>
    <t>Vpmax_stc</t>
  </si>
  <si>
    <t>Maximum System Voltage</t>
  </si>
  <si>
    <t>Vsys_max_pv</t>
  </si>
  <si>
    <t>PV panel short circuit current</t>
  </si>
  <si>
    <t>Isc_stc</t>
  </si>
  <si>
    <t>A</t>
  </si>
  <si>
    <t>Temperature coefficient of Voc</t>
  </si>
  <si>
    <t>βvoc</t>
  </si>
  <si>
    <r>
      <t>%/</t>
    </r>
    <r>
      <rPr>
        <sz val="11"/>
        <color theme="1"/>
        <rFont val="Calibri"/>
        <family val="2"/>
      </rPr>
      <t>◦C</t>
    </r>
  </si>
  <si>
    <t>Temperature coefficient of Pmax</t>
  </si>
  <si>
    <t>ϒpmax</t>
  </si>
  <si>
    <t>Inverter Parameter</t>
  </si>
  <si>
    <t>Rated AC Active Power</t>
  </si>
  <si>
    <t xml:space="preserve">Pmax </t>
  </si>
  <si>
    <t>kW</t>
  </si>
  <si>
    <t>Absolute maximum input voltage</t>
  </si>
  <si>
    <t>Vmax_abs_inv</t>
  </si>
  <si>
    <t>Maximum MPPT voltage</t>
  </si>
  <si>
    <t>Vmax_mppt</t>
  </si>
  <si>
    <t>Minimum MPPT voltage</t>
  </si>
  <si>
    <t>Vmin_mppt</t>
  </si>
  <si>
    <t>Minimum start Voltage</t>
  </si>
  <si>
    <t>Vstart_inv</t>
  </si>
  <si>
    <t>Rated input Voltage</t>
  </si>
  <si>
    <t>Vrated_inv</t>
  </si>
  <si>
    <t>Maximum short circuit current per MPPT</t>
  </si>
  <si>
    <t>Isc_max_mppt</t>
  </si>
  <si>
    <t>Number of MPP Tracker</t>
  </si>
  <si>
    <t xml:space="preserve">N_mppt </t>
  </si>
  <si>
    <t>Number of Inputs</t>
  </si>
  <si>
    <t>N_mppt_input</t>
  </si>
  <si>
    <t>Operating Parameter</t>
  </si>
  <si>
    <t>Safety factor</t>
  </si>
  <si>
    <t>sf1</t>
  </si>
  <si>
    <t>DC cable efficiency</t>
  </si>
  <si>
    <t>π_cable</t>
  </si>
  <si>
    <t>Maximum module temperature</t>
  </si>
  <si>
    <t>Tmod_max</t>
  </si>
  <si>
    <t>◦C</t>
  </si>
  <si>
    <t>Minimum module temperature</t>
  </si>
  <si>
    <t>Tmod_min</t>
  </si>
  <si>
    <t>STC temperature</t>
  </si>
  <si>
    <t>Tstc</t>
  </si>
  <si>
    <t>Number of Panel Calculation</t>
  </si>
  <si>
    <t>Maximum open circuit voltage</t>
  </si>
  <si>
    <t>Voc_max</t>
  </si>
  <si>
    <t>Minimum open circuit voltage</t>
  </si>
  <si>
    <t>Voc_min</t>
  </si>
  <si>
    <t>Maximum voltage at maximum power</t>
  </si>
  <si>
    <t>Vpmax_max</t>
  </si>
  <si>
    <t>Minimum voltage at maximum power</t>
  </si>
  <si>
    <t>Vpmax_min</t>
  </si>
  <si>
    <t>Determine maximum number of panel per string</t>
  </si>
  <si>
    <t>Max number based on max Voc</t>
  </si>
  <si>
    <t>Ns_max_abs</t>
  </si>
  <si>
    <t>modules</t>
  </si>
  <si>
    <t>Max number based on max Vpmax</t>
  </si>
  <si>
    <t>Ns_max_mppt</t>
  </si>
  <si>
    <t>Max number based on Vsys</t>
  </si>
  <si>
    <t>Ns_max_pv</t>
  </si>
  <si>
    <t>Determine minimum number of panel per string</t>
  </si>
  <si>
    <t>Min number based on min Vpmax</t>
  </si>
  <si>
    <t>Ns_min_mppt</t>
  </si>
  <si>
    <t>Min number based on min Voc</t>
  </si>
  <si>
    <t>Ns_min_start</t>
  </si>
  <si>
    <t>Final Max number of panel per string</t>
  </si>
  <si>
    <t>Ns_max</t>
  </si>
  <si>
    <t>Final Min number of panel per string</t>
  </si>
  <si>
    <t>Ns_min</t>
  </si>
  <si>
    <t>Percentage of recommended operating window voltage</t>
  </si>
  <si>
    <t>W%</t>
  </si>
  <si>
    <t>%</t>
  </si>
  <si>
    <t>Determine optimum number of panel per string</t>
  </si>
  <si>
    <t>Min recommended number of panel per string</t>
  </si>
  <si>
    <t>Ns_rec_min</t>
  </si>
  <si>
    <t>Max recommended number of panel per string</t>
  </si>
  <si>
    <t>Ns_rec_max</t>
  </si>
  <si>
    <t>Recommended nmber of panel per string</t>
  </si>
  <si>
    <t>Ns_rec</t>
  </si>
  <si>
    <t>Determine maximum number of strings per MPPT</t>
  </si>
  <si>
    <t>Max number of strings per MPPT</t>
  </si>
  <si>
    <t>Np_max_per_mppt</t>
  </si>
  <si>
    <t>strings</t>
  </si>
  <si>
    <t>Number of panel per string and number of string calculation</t>
  </si>
  <si>
    <t>Estimated total number of panels per inverter</t>
  </si>
  <si>
    <t>Nt</t>
  </si>
  <si>
    <t>Total module per MPPT</t>
  </si>
  <si>
    <t>Nt_per_mppt</t>
  </si>
  <si>
    <t>Total strings per MPPT</t>
  </si>
  <si>
    <t>Np_per_mppt</t>
  </si>
  <si>
    <t>string(s)</t>
  </si>
  <si>
    <t>Final Configuration</t>
  </si>
  <si>
    <t>Final total number of PV panel per inverter</t>
  </si>
  <si>
    <t>Total kWp of PV system</t>
  </si>
  <si>
    <t>Final DC/AC ratio</t>
  </si>
  <si>
    <t>Final string max open circuit voltage</t>
  </si>
  <si>
    <t>Vstr_oc_max</t>
  </si>
  <si>
    <t>&lt;</t>
  </si>
  <si>
    <t>Final string min open circuit voltage</t>
  </si>
  <si>
    <t>Vstr_oc_min</t>
  </si>
  <si>
    <t>&gt;</t>
  </si>
  <si>
    <t>Final string max voltage at max power</t>
  </si>
  <si>
    <t>Vstr_pmax_max</t>
  </si>
  <si>
    <t>Final string min voltage at max power</t>
  </si>
  <si>
    <t>Vstr_pmax_min</t>
  </si>
  <si>
    <t>Max String Cable length</t>
  </si>
  <si>
    <t>* Use the longest string cable</t>
  </si>
  <si>
    <t>Copper</t>
  </si>
  <si>
    <t>* Select material of cable (Drop down)</t>
  </si>
  <si>
    <t>Allowable Voltage drop</t>
  </si>
  <si>
    <t>*If no Array, use 3%, If exist, separate String 2% and Array 1%</t>
  </si>
  <si>
    <t>Max Panel Temperature</t>
  </si>
  <si>
    <t>* For Malaysia, use 70 degree celcius</t>
  </si>
  <si>
    <t>Min Cable Size</t>
  </si>
  <si>
    <t>mm2</t>
  </si>
  <si>
    <t>Max Cable Length</t>
  </si>
  <si>
    <t>m</t>
  </si>
  <si>
    <t>PF</t>
  </si>
  <si>
    <t>Allowable Voltage Drop</t>
  </si>
  <si>
    <t xml:space="preserve">Alluminium </t>
  </si>
  <si>
    <t>min</t>
  </si>
  <si>
    <t>max</t>
  </si>
  <si>
    <t>output</t>
  </si>
  <si>
    <t>Ipmax stc</t>
  </si>
  <si>
    <t>Vpmax</t>
  </si>
  <si>
    <t>Coeff Vpmax</t>
  </si>
  <si>
    <t>DC Cable</t>
  </si>
  <si>
    <t>PV panel max power current</t>
  </si>
  <si>
    <t>Ipmax_stc</t>
  </si>
  <si>
    <t>Final Cable Size</t>
  </si>
  <si>
    <t>Total panel per string</t>
  </si>
  <si>
    <t>Voltage Drop</t>
  </si>
  <si>
    <t>Voltage Drop %</t>
  </si>
  <si>
    <t>Inverter Rated Power</t>
  </si>
  <si>
    <t>Inverter Rated Output Current</t>
  </si>
  <si>
    <t>AC (Three phase)</t>
  </si>
  <si>
    <t>AC (Single phase)</t>
  </si>
  <si>
    <t>Nominal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</si>
</sst>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2" fillId="0" borderId="1" xfId="0" applyFont="1" applyBorder="1"/>
    <xf numFmtId="0" fontId="0" fillId="2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4" xfId="0" applyFill="1" applyBorder="1" applyAlignment="1">
      <alignment horizontal="right"/>
    </xf>
    <xf numFmtId="0" fontId="0" fillId="3" borderId="3" xfId="0" applyFill="1" applyBorder="1"/>
    <xf numFmtId="0" fontId="0" fillId="3" borderId="2" xfId="0" applyFill="1" applyBorder="1"/>
    <xf numFmtId="9" fontId="0" fillId="0" borderId="0" xfId="1" applyFont="1"/>
    <xf numFmtId="0" fontId="0" fillId="0" borderId="0" xfId="0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0" borderId="7" xfId="0" applyBorder="1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4" xfId="0" applyBorder="1"/>
    <xf numFmtId="0" fontId="0" fillId="3" borderId="8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2" xfId="0" applyFill="1" applyBorder="1" applyAlignment="1">
      <alignment horizontal="right"/>
    </xf>
    <xf numFmtId="0" fontId="0" fillId="2" borderId="5" xfId="0" applyFill="1" applyBorder="1"/>
    <xf numFmtId="0" fontId="2" fillId="0" borderId="14" xfId="0" applyFont="1" applyBorder="1"/>
    <xf numFmtId="0" fontId="0" fillId="0" borderId="1" xfId="0" applyBorder="1" applyAlignment="1">
      <alignment horizontal="left"/>
    </xf>
    <xf numFmtId="0" fontId="0" fillId="2" borderId="8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1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6" xfId="1" applyNumberFormat="1" applyFont="1" applyFill="1" applyBorder="1"/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3" xfId="0" applyFill="1" applyBorder="1"/>
    <xf numFmtId="0" fontId="0" fillId="2" borderId="9" xfId="1" applyNumberFormat="1" applyFont="1" applyFill="1" applyBorder="1"/>
    <xf numFmtId="0" fontId="2" fillId="2" borderId="12" xfId="0" applyFont="1" applyFill="1" applyBorder="1"/>
    <xf numFmtId="0" fontId="0" fillId="5" borderId="12" xfId="0" applyFill="1" applyBorder="1"/>
    <xf numFmtId="0" fontId="0" fillId="5" borderId="11" xfId="0" applyFill="1" applyBorder="1"/>
    <xf numFmtId="0" fontId="0" fillId="0" borderId="6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5" borderId="8" xfId="0" applyFill="1" applyBorder="1"/>
    <xf numFmtId="0" fontId="0" fillId="0" borderId="12" xfId="0" applyBorder="1"/>
    <xf numFmtId="0" fontId="0" fillId="2" borderId="4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77BB-47F0-4683-A786-5C1307CE23BF}">
  <dimension ref="B3:E26"/>
  <sheetViews>
    <sheetView workbookViewId="0">
      <selection activeCell="M12" sqref="M12"/>
    </sheetView>
  </sheetViews>
  <sheetFormatPr defaultRowHeight="14.4" x14ac:dyDescent="0.3"/>
  <cols>
    <col min="2" max="2" width="25.33203125" customWidth="1"/>
    <col min="3" max="3" width="11" customWidth="1"/>
    <col min="4" max="4" width="8.6640625" customWidth="1"/>
    <col min="8" max="8" width="23.6640625" customWidth="1"/>
    <col min="9" max="9" width="13.5546875" customWidth="1"/>
    <col min="11" max="11" width="15" customWidth="1"/>
    <col min="12" max="12" width="14" customWidth="1"/>
  </cols>
  <sheetData>
    <row r="3" spans="2:5" x14ac:dyDescent="0.3">
      <c r="B3" s="1" t="s">
        <v>0</v>
      </c>
      <c r="C3" s="1" t="s">
        <v>1</v>
      </c>
      <c r="D3" s="5">
        <v>30000</v>
      </c>
      <c r="E3" s="9" t="s">
        <v>2</v>
      </c>
    </row>
    <row r="4" spans="2:5" x14ac:dyDescent="0.3">
      <c r="B4" s="20" t="s">
        <v>3</v>
      </c>
      <c r="C4" s="20" t="s">
        <v>4</v>
      </c>
      <c r="D4" s="5">
        <v>38500</v>
      </c>
      <c r="E4" s="9" t="s">
        <v>2</v>
      </c>
    </row>
    <row r="5" spans="2:5" x14ac:dyDescent="0.3">
      <c r="B5" s="1" t="s">
        <v>5</v>
      </c>
      <c r="C5" s="1" t="s">
        <v>6</v>
      </c>
      <c r="D5" s="5">
        <v>2278</v>
      </c>
      <c r="E5" s="9" t="s">
        <v>2</v>
      </c>
    </row>
    <row r="6" spans="2:5" x14ac:dyDescent="0.3">
      <c r="B6" s="1" t="s">
        <v>7</v>
      </c>
      <c r="C6" s="1" t="s">
        <v>8</v>
      </c>
      <c r="D6" s="5">
        <v>1134</v>
      </c>
      <c r="E6" s="9" t="s">
        <v>2</v>
      </c>
    </row>
    <row r="7" spans="2:5" x14ac:dyDescent="0.3">
      <c r="B7" s="1" t="s">
        <v>9</v>
      </c>
      <c r="C7" s="1" t="s">
        <v>10</v>
      </c>
      <c r="D7" s="5">
        <v>10</v>
      </c>
      <c r="E7" s="9" t="s">
        <v>2</v>
      </c>
    </row>
    <row r="8" spans="2:5" x14ac:dyDescent="0.3">
      <c r="B8" s="1" t="s">
        <v>11</v>
      </c>
      <c r="C8" s="1" t="s">
        <v>12</v>
      </c>
      <c r="D8" s="5">
        <v>1000</v>
      </c>
      <c r="E8" s="9" t="s">
        <v>2</v>
      </c>
    </row>
    <row r="9" spans="2:5" x14ac:dyDescent="0.3">
      <c r="B9" s="1" t="s">
        <v>13</v>
      </c>
      <c r="C9" s="1" t="s">
        <v>14</v>
      </c>
      <c r="D9" s="2">
        <v>590</v>
      </c>
      <c r="E9" s="7" t="s">
        <v>15</v>
      </c>
    </row>
    <row r="13" spans="2:5" x14ac:dyDescent="0.3">
      <c r="B13" s="31" t="s">
        <v>16</v>
      </c>
      <c r="C13" s="31"/>
      <c r="D13" s="31"/>
    </row>
    <row r="14" spans="2:5" x14ac:dyDescent="0.3">
      <c r="B14" s="1" t="s">
        <v>17</v>
      </c>
      <c r="C14" s="8">
        <f>ROUNDDOWN($D$3/($D$5+$D$8),0)</f>
        <v>9</v>
      </c>
      <c r="D14" s="9" t="s">
        <v>18</v>
      </c>
    </row>
    <row r="15" spans="2:5" x14ac:dyDescent="0.3">
      <c r="B15" s="1" t="s">
        <v>19</v>
      </c>
      <c r="C15" s="8">
        <f>ROUNDDOWN($D$4/($D$6+$D$7),0)</f>
        <v>33</v>
      </c>
      <c r="D15" s="9" t="s">
        <v>18</v>
      </c>
    </row>
    <row r="16" spans="2:5" x14ac:dyDescent="0.3">
      <c r="B16" s="1" t="s">
        <v>20</v>
      </c>
      <c r="C16" s="8">
        <f>ROUNDDOWN($C$14*$C$15,0)</f>
        <v>297</v>
      </c>
      <c r="D16" s="9" t="s">
        <v>18</v>
      </c>
    </row>
    <row r="17" spans="2:5" x14ac:dyDescent="0.3">
      <c r="B17" s="31" t="s">
        <v>21</v>
      </c>
      <c r="C17" s="31"/>
      <c r="D17" s="31"/>
    </row>
    <row r="18" spans="2:5" x14ac:dyDescent="0.3">
      <c r="B18" s="20" t="s">
        <v>17</v>
      </c>
      <c r="C18" s="8">
        <f>ROUNDDOWN($D$3/($D$6+$D$8),0)</f>
        <v>14</v>
      </c>
      <c r="D18" s="9" t="s">
        <v>18</v>
      </c>
    </row>
    <row r="19" spans="2:5" x14ac:dyDescent="0.3">
      <c r="B19" s="1" t="s">
        <v>19</v>
      </c>
      <c r="C19" s="8">
        <f>ROUNDDOWN($D$4/($D$5+$D$7),0)</f>
        <v>16</v>
      </c>
      <c r="D19" s="9" t="s">
        <v>18</v>
      </c>
    </row>
    <row r="20" spans="2:5" x14ac:dyDescent="0.3">
      <c r="B20" s="1" t="s">
        <v>20</v>
      </c>
      <c r="C20" s="6">
        <f>ROUNDDOWN($C$19*$C$18,0)</f>
        <v>224</v>
      </c>
      <c r="D20" s="7" t="s">
        <v>18</v>
      </c>
    </row>
    <row r="21" spans="2:5" x14ac:dyDescent="0.3">
      <c r="B21" s="31" t="s">
        <v>22</v>
      </c>
      <c r="C21" s="31"/>
      <c r="D21" s="31"/>
    </row>
    <row r="22" spans="2:5" x14ac:dyDescent="0.3">
      <c r="B22" s="1" t="s">
        <v>23</v>
      </c>
      <c r="C22" s="32" t="str">
        <f>IF($C$16=$C$20,"Both Orientation are good", IF($C$23=$C$16,$B$13,$B$17))</f>
        <v>Landsacpe</v>
      </c>
      <c r="D22" s="33"/>
    </row>
    <row r="23" spans="2:5" x14ac:dyDescent="0.3">
      <c r="B23" s="1" t="s">
        <v>24</v>
      </c>
      <c r="C23" s="22">
        <f>MAX(C16,M15)</f>
        <v>297</v>
      </c>
      <c r="D23" s="23" t="s">
        <v>18</v>
      </c>
    </row>
    <row r="24" spans="2:5" x14ac:dyDescent="0.3">
      <c r="B24" s="1" t="s">
        <v>25</v>
      </c>
      <c r="C24" s="21">
        <f>(C23*D9)/1000</f>
        <v>175.23</v>
      </c>
      <c r="D24" s="11" t="s">
        <v>26</v>
      </c>
    </row>
    <row r="26" spans="2:5" x14ac:dyDescent="0.3">
      <c r="B26" s="34" t="s">
        <v>27</v>
      </c>
      <c r="C26" s="34"/>
      <c r="D26" s="34"/>
      <c r="E26" s="34"/>
    </row>
  </sheetData>
  <mergeCells count="5">
    <mergeCell ref="B21:D21"/>
    <mergeCell ref="B13:D13"/>
    <mergeCell ref="B17:D17"/>
    <mergeCell ref="C22:D22"/>
    <mergeCell ref="B26:E2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1B26-5014-4E76-9479-66C29A09F487}">
  <dimension ref="A2:O68"/>
  <sheetViews>
    <sheetView zoomScale="85" zoomScaleNormal="85" workbookViewId="0">
      <selection activeCell="G19" sqref="G19"/>
    </sheetView>
  </sheetViews>
  <sheetFormatPr defaultRowHeight="14.4" x14ac:dyDescent="0.3"/>
  <cols>
    <col min="1" max="1" width="44.33203125" customWidth="1"/>
    <col min="2" max="2" width="50.33203125" bestFit="1" customWidth="1"/>
    <col min="3" max="3" width="18.44140625" customWidth="1"/>
    <col min="4" max="4" width="12.88671875" customWidth="1"/>
    <col min="7" max="7" width="17.109375" bestFit="1" customWidth="1"/>
    <col min="8" max="8" width="17.109375" customWidth="1"/>
    <col min="9" max="9" width="50.33203125" bestFit="1" customWidth="1"/>
    <col min="10" max="10" width="18.44140625" customWidth="1"/>
    <col min="11" max="11" width="12.88671875" customWidth="1"/>
    <col min="14" max="14" width="17.109375" bestFit="1" customWidth="1"/>
    <col min="15" max="15" width="17.109375" customWidth="1"/>
    <col min="16" max="16" width="16.6640625" bestFit="1" customWidth="1"/>
    <col min="18" max="18" width="16.6640625" bestFit="1" customWidth="1"/>
    <col min="22" max="22" width="17.109375" bestFit="1" customWidth="1"/>
    <col min="23" max="23" width="16.6640625" bestFit="1" customWidth="1"/>
    <col min="26" max="26" width="16.6640625" bestFit="1" customWidth="1"/>
    <col min="30" max="30" width="17.109375" bestFit="1" customWidth="1"/>
    <col min="31" max="31" width="16.6640625" bestFit="1" customWidth="1"/>
  </cols>
  <sheetData>
    <row r="2" spans="2:12" x14ac:dyDescent="0.3">
      <c r="B2" s="1" t="s">
        <v>28</v>
      </c>
      <c r="C2" s="35">
        <v>1</v>
      </c>
      <c r="D2" s="35"/>
      <c r="E2" s="35"/>
      <c r="I2" s="1" t="s">
        <v>28</v>
      </c>
      <c r="J2" s="35">
        <v>2</v>
      </c>
      <c r="K2" s="35"/>
      <c r="L2" s="35"/>
    </row>
    <row r="3" spans="2:12" x14ac:dyDescent="0.3">
      <c r="B3" s="1" t="s">
        <v>29</v>
      </c>
      <c r="C3" s="35" t="s">
        <v>30</v>
      </c>
      <c r="D3" s="35"/>
      <c r="E3" s="35"/>
      <c r="I3" s="1" t="s">
        <v>29</v>
      </c>
      <c r="J3" s="35" t="s">
        <v>31</v>
      </c>
      <c r="K3" s="35"/>
      <c r="L3" s="35"/>
    </row>
    <row r="4" spans="2:12" ht="14.4" customHeight="1" x14ac:dyDescent="0.3">
      <c r="B4" s="1" t="s">
        <v>32</v>
      </c>
      <c r="C4" s="35" t="s">
        <v>33</v>
      </c>
      <c r="D4" s="35"/>
      <c r="E4" s="35"/>
      <c r="I4" s="1" t="s">
        <v>32</v>
      </c>
      <c r="J4" s="35" t="s">
        <v>33</v>
      </c>
      <c r="K4" s="35"/>
      <c r="L4" s="35"/>
    </row>
    <row r="5" spans="2:12" ht="14.4" customHeight="1" x14ac:dyDescent="0.3"/>
    <row r="6" spans="2:12" ht="14.4" customHeight="1" x14ac:dyDescent="0.3">
      <c r="B6" s="36" t="s">
        <v>34</v>
      </c>
      <c r="C6" s="38"/>
      <c r="D6" s="38"/>
      <c r="E6" s="37"/>
      <c r="I6" s="36" t="s">
        <v>34</v>
      </c>
      <c r="J6" s="38"/>
      <c r="K6" s="38"/>
      <c r="L6" s="37"/>
    </row>
    <row r="7" spans="2:12" x14ac:dyDescent="0.3">
      <c r="B7" s="36" t="s">
        <v>35</v>
      </c>
      <c r="C7" s="37"/>
      <c r="D7" s="36" t="s">
        <v>36</v>
      </c>
      <c r="E7" s="37"/>
      <c r="I7" s="36" t="s">
        <v>35</v>
      </c>
      <c r="J7" s="37"/>
      <c r="K7" s="36" t="s">
        <v>36</v>
      </c>
      <c r="L7" s="37"/>
    </row>
    <row r="8" spans="2:12" x14ac:dyDescent="0.3">
      <c r="B8" s="1" t="s">
        <v>37</v>
      </c>
      <c r="C8" s="1" t="s">
        <v>38</v>
      </c>
      <c r="D8" s="2">
        <v>590</v>
      </c>
      <c r="E8" s="3" t="s">
        <v>15</v>
      </c>
      <c r="I8" s="1" t="s">
        <v>37</v>
      </c>
      <c r="J8" s="1" t="s">
        <v>38</v>
      </c>
      <c r="K8" s="2">
        <v>590</v>
      </c>
      <c r="L8" s="3" t="s">
        <v>15</v>
      </c>
    </row>
    <row r="9" spans="2:12" x14ac:dyDescent="0.3">
      <c r="B9" s="1" t="s">
        <v>39</v>
      </c>
      <c r="C9" s="1" t="s">
        <v>40</v>
      </c>
      <c r="D9" s="2">
        <v>52.63</v>
      </c>
      <c r="E9" s="3" t="s">
        <v>41</v>
      </c>
      <c r="I9" s="1" t="s">
        <v>39</v>
      </c>
      <c r="J9" s="1" t="s">
        <v>40</v>
      </c>
      <c r="K9" s="2">
        <v>52.63</v>
      </c>
      <c r="L9" s="3" t="s">
        <v>41</v>
      </c>
    </row>
    <row r="10" spans="2:12" x14ac:dyDescent="0.3">
      <c r="B10" s="1" t="s">
        <v>42</v>
      </c>
      <c r="C10" s="1" t="s">
        <v>43</v>
      </c>
      <c r="D10" s="2">
        <v>43.71</v>
      </c>
      <c r="E10" s="3" t="s">
        <v>41</v>
      </c>
      <c r="I10" s="1" t="s">
        <v>42</v>
      </c>
      <c r="J10" s="1" t="s">
        <v>43</v>
      </c>
      <c r="K10" s="2">
        <v>43.71</v>
      </c>
      <c r="L10" s="3" t="s">
        <v>41</v>
      </c>
    </row>
    <row r="11" spans="2:12" x14ac:dyDescent="0.3">
      <c r="B11" s="1" t="s">
        <v>44</v>
      </c>
      <c r="C11" s="1" t="s">
        <v>45</v>
      </c>
      <c r="D11" s="2">
        <v>1500</v>
      </c>
      <c r="E11" s="3" t="s">
        <v>41</v>
      </c>
      <c r="I11" s="1" t="s">
        <v>44</v>
      </c>
      <c r="J11" s="1" t="s">
        <v>45</v>
      </c>
      <c r="K11" s="2">
        <v>1500</v>
      </c>
      <c r="L11" s="3" t="s">
        <v>41</v>
      </c>
    </row>
    <row r="12" spans="2:12" x14ac:dyDescent="0.3">
      <c r="B12" s="1" t="s">
        <v>46</v>
      </c>
      <c r="C12" s="1" t="s">
        <v>47</v>
      </c>
      <c r="D12" s="2">
        <v>14.13</v>
      </c>
      <c r="E12" s="3" t="s">
        <v>48</v>
      </c>
      <c r="I12" s="1" t="s">
        <v>46</v>
      </c>
      <c r="J12" s="1" t="s">
        <v>47</v>
      </c>
      <c r="K12" s="2">
        <v>14.13</v>
      </c>
      <c r="L12" s="3" t="s">
        <v>48</v>
      </c>
    </row>
    <row r="13" spans="2:12" x14ac:dyDescent="0.3">
      <c r="B13" s="1" t="s">
        <v>170</v>
      </c>
      <c r="C13" s="1" t="s">
        <v>171</v>
      </c>
      <c r="D13" s="2">
        <v>13.5</v>
      </c>
      <c r="E13" s="3" t="s">
        <v>48</v>
      </c>
      <c r="I13" s="1" t="s">
        <v>170</v>
      </c>
      <c r="J13" s="1" t="s">
        <v>171</v>
      </c>
      <c r="K13" s="2">
        <v>13.5</v>
      </c>
      <c r="L13" s="3" t="s">
        <v>48</v>
      </c>
    </row>
    <row r="14" spans="2:12" x14ac:dyDescent="0.3">
      <c r="B14" s="1" t="s">
        <v>49</v>
      </c>
      <c r="C14" s="4" t="s">
        <v>50</v>
      </c>
      <c r="D14" s="2">
        <v>-0.25</v>
      </c>
      <c r="E14" s="3" t="s">
        <v>51</v>
      </c>
      <c r="I14" s="1" t="s">
        <v>49</v>
      </c>
      <c r="J14" s="4" t="s">
        <v>50</v>
      </c>
      <c r="K14" s="2">
        <v>-0.25</v>
      </c>
      <c r="L14" s="3" t="s">
        <v>51</v>
      </c>
    </row>
    <row r="15" spans="2:12" x14ac:dyDescent="0.3">
      <c r="B15" s="1" t="s">
        <v>52</v>
      </c>
      <c r="C15" s="4" t="s">
        <v>53</v>
      </c>
      <c r="D15" s="2">
        <v>-0.28999999999999998</v>
      </c>
      <c r="E15" s="3" t="s">
        <v>51</v>
      </c>
      <c r="I15" s="1" t="s">
        <v>52</v>
      </c>
      <c r="J15" s="4" t="s">
        <v>53</v>
      </c>
      <c r="K15" s="2">
        <v>-0.28999999999999998</v>
      </c>
      <c r="L15" s="3" t="s">
        <v>51</v>
      </c>
    </row>
    <row r="16" spans="2:12" x14ac:dyDescent="0.3">
      <c r="B16" s="36" t="s">
        <v>54</v>
      </c>
      <c r="C16" s="38"/>
      <c r="D16" s="38"/>
      <c r="E16" s="37"/>
      <c r="I16" s="36" t="s">
        <v>54</v>
      </c>
      <c r="J16" s="38"/>
      <c r="K16" s="38"/>
      <c r="L16" s="37"/>
    </row>
    <row r="17" spans="2:12" x14ac:dyDescent="0.3">
      <c r="B17" s="27" t="s">
        <v>55</v>
      </c>
      <c r="C17" s="27" t="s">
        <v>56</v>
      </c>
      <c r="D17" s="28">
        <v>100</v>
      </c>
      <c r="E17" s="29" t="s">
        <v>57</v>
      </c>
      <c r="I17" s="27" t="s">
        <v>55</v>
      </c>
      <c r="J17" s="27" t="s">
        <v>56</v>
      </c>
      <c r="K17" s="28">
        <v>50</v>
      </c>
      <c r="L17" s="29" t="s">
        <v>57</v>
      </c>
    </row>
    <row r="18" spans="2:12" x14ac:dyDescent="0.3">
      <c r="B18" s="1" t="s">
        <v>58</v>
      </c>
      <c r="C18" s="4" t="s">
        <v>59</v>
      </c>
      <c r="D18" s="2">
        <v>1100</v>
      </c>
      <c r="E18" s="3" t="s">
        <v>41</v>
      </c>
      <c r="I18" s="1" t="s">
        <v>58</v>
      </c>
      <c r="J18" s="4" t="s">
        <v>59</v>
      </c>
      <c r="K18" s="2">
        <v>1100</v>
      </c>
      <c r="L18" s="3" t="s">
        <v>41</v>
      </c>
    </row>
    <row r="19" spans="2:12" x14ac:dyDescent="0.3">
      <c r="B19" s="1" t="s">
        <v>60</v>
      </c>
      <c r="C19" s="4" t="s">
        <v>61</v>
      </c>
      <c r="D19" s="2">
        <v>1000</v>
      </c>
      <c r="E19" s="3" t="s">
        <v>41</v>
      </c>
      <c r="I19" s="1" t="s">
        <v>60</v>
      </c>
      <c r="J19" s="4" t="s">
        <v>61</v>
      </c>
      <c r="K19" s="2">
        <v>1000</v>
      </c>
      <c r="L19" s="3" t="s">
        <v>41</v>
      </c>
    </row>
    <row r="20" spans="2:12" x14ac:dyDescent="0.3">
      <c r="B20" s="1" t="s">
        <v>62</v>
      </c>
      <c r="C20" s="4" t="s">
        <v>63</v>
      </c>
      <c r="D20" s="2">
        <v>200</v>
      </c>
      <c r="E20" s="3" t="s">
        <v>41</v>
      </c>
      <c r="I20" s="1" t="s">
        <v>62</v>
      </c>
      <c r="J20" s="4" t="s">
        <v>63</v>
      </c>
      <c r="K20" s="2">
        <v>200</v>
      </c>
      <c r="L20" s="3" t="s">
        <v>41</v>
      </c>
    </row>
    <row r="21" spans="2:12" x14ac:dyDescent="0.3">
      <c r="B21" s="1" t="s">
        <v>64</v>
      </c>
      <c r="C21" s="4" t="s">
        <v>65</v>
      </c>
      <c r="D21" s="2">
        <v>200</v>
      </c>
      <c r="E21" s="3" t="s">
        <v>41</v>
      </c>
      <c r="I21" s="1" t="s">
        <v>64</v>
      </c>
      <c r="J21" s="4" t="s">
        <v>65</v>
      </c>
      <c r="K21" s="2">
        <v>200</v>
      </c>
      <c r="L21" s="3" t="s">
        <v>41</v>
      </c>
    </row>
    <row r="22" spans="2:12" x14ac:dyDescent="0.3">
      <c r="B22" s="1" t="s">
        <v>66</v>
      </c>
      <c r="C22" s="1" t="s">
        <v>67</v>
      </c>
      <c r="D22" s="5">
        <v>600</v>
      </c>
      <c r="E22" s="3" t="s">
        <v>41</v>
      </c>
      <c r="I22" s="1" t="s">
        <v>66</v>
      </c>
      <c r="J22" s="1" t="s">
        <v>67</v>
      </c>
      <c r="K22" s="5">
        <v>600</v>
      </c>
      <c r="L22" s="3" t="s">
        <v>41</v>
      </c>
    </row>
    <row r="23" spans="2:12" x14ac:dyDescent="0.3">
      <c r="B23" s="1" t="s">
        <v>68</v>
      </c>
      <c r="C23" s="4" t="s">
        <v>69</v>
      </c>
      <c r="D23" s="2">
        <v>40</v>
      </c>
      <c r="E23" s="3" t="s">
        <v>48</v>
      </c>
      <c r="I23" s="1" t="s">
        <v>68</v>
      </c>
      <c r="J23" s="4" t="s">
        <v>69</v>
      </c>
      <c r="K23" s="2">
        <v>40</v>
      </c>
      <c r="L23" s="3" t="s">
        <v>48</v>
      </c>
    </row>
    <row r="24" spans="2:12" x14ac:dyDescent="0.3">
      <c r="B24" s="1" t="s">
        <v>70</v>
      </c>
      <c r="C24" s="4" t="s">
        <v>71</v>
      </c>
      <c r="D24" s="5">
        <v>10</v>
      </c>
      <c r="E24" s="25"/>
      <c r="I24" s="1" t="s">
        <v>70</v>
      </c>
      <c r="J24" s="4" t="s">
        <v>71</v>
      </c>
      <c r="K24" s="5">
        <v>4</v>
      </c>
      <c r="L24" s="25"/>
    </row>
    <row r="25" spans="2:12" x14ac:dyDescent="0.3">
      <c r="B25" s="1" t="s">
        <v>72</v>
      </c>
      <c r="C25" s="4" t="s">
        <v>73</v>
      </c>
      <c r="D25" s="2">
        <v>2</v>
      </c>
      <c r="E25" s="3"/>
      <c r="I25" s="1" t="s">
        <v>72</v>
      </c>
      <c r="J25" s="4" t="s">
        <v>73</v>
      </c>
      <c r="K25" s="2">
        <v>8</v>
      </c>
      <c r="L25" s="3"/>
    </row>
    <row r="26" spans="2:12" x14ac:dyDescent="0.3">
      <c r="B26" s="39" t="s">
        <v>74</v>
      </c>
      <c r="C26" s="39"/>
      <c r="D26" s="39"/>
      <c r="E26" s="39"/>
      <c r="I26" s="39" t="s">
        <v>74</v>
      </c>
      <c r="J26" s="39"/>
      <c r="K26" s="39"/>
      <c r="L26" s="39"/>
    </row>
    <row r="27" spans="2:12" x14ac:dyDescent="0.3">
      <c r="B27" s="1" t="s">
        <v>75</v>
      </c>
      <c r="C27" s="4" t="s">
        <v>76</v>
      </c>
      <c r="D27" s="5">
        <v>1.25</v>
      </c>
      <c r="E27" s="25"/>
      <c r="I27" s="1" t="s">
        <v>75</v>
      </c>
      <c r="J27" s="4" t="s">
        <v>76</v>
      </c>
      <c r="K27" s="5">
        <v>1.25</v>
      </c>
      <c r="L27" s="25"/>
    </row>
    <row r="28" spans="2:12" x14ac:dyDescent="0.3">
      <c r="B28" s="1" t="s">
        <v>77</v>
      </c>
      <c r="C28" s="4" t="s">
        <v>78</v>
      </c>
      <c r="D28" s="5">
        <v>0.97</v>
      </c>
      <c r="E28" s="25"/>
      <c r="I28" s="1" t="s">
        <v>77</v>
      </c>
      <c r="J28" s="4" t="s">
        <v>78</v>
      </c>
      <c r="K28" s="5">
        <v>0.97</v>
      </c>
      <c r="L28" s="25"/>
    </row>
    <row r="29" spans="2:12" x14ac:dyDescent="0.3">
      <c r="B29" s="1" t="s">
        <v>79</v>
      </c>
      <c r="C29" s="4" t="s">
        <v>80</v>
      </c>
      <c r="D29" s="2">
        <v>85</v>
      </c>
      <c r="E29" s="3" t="s">
        <v>81</v>
      </c>
      <c r="I29" s="1" t="s">
        <v>79</v>
      </c>
      <c r="J29" s="4" t="s">
        <v>80</v>
      </c>
      <c r="K29" s="2">
        <v>85</v>
      </c>
      <c r="L29" s="3" t="s">
        <v>81</v>
      </c>
    </row>
    <row r="30" spans="2:12" x14ac:dyDescent="0.3">
      <c r="B30" s="1" t="s">
        <v>82</v>
      </c>
      <c r="C30" s="4" t="s">
        <v>83</v>
      </c>
      <c r="D30" s="2">
        <v>20</v>
      </c>
      <c r="E30" s="3" t="s">
        <v>81</v>
      </c>
      <c r="I30" s="1" t="s">
        <v>82</v>
      </c>
      <c r="J30" s="4" t="s">
        <v>83</v>
      </c>
      <c r="K30" s="2">
        <v>20</v>
      </c>
      <c r="L30" s="3" t="s">
        <v>81</v>
      </c>
    </row>
    <row r="31" spans="2:12" x14ac:dyDescent="0.3">
      <c r="B31" s="1" t="s">
        <v>84</v>
      </c>
      <c r="C31" s="4" t="s">
        <v>85</v>
      </c>
      <c r="D31" s="6">
        <v>25</v>
      </c>
      <c r="E31" s="7" t="s">
        <v>81</v>
      </c>
      <c r="I31" s="1" t="s">
        <v>84</v>
      </c>
      <c r="J31" s="4" t="s">
        <v>85</v>
      </c>
      <c r="K31" s="6">
        <v>25</v>
      </c>
      <c r="L31" s="7" t="s">
        <v>81</v>
      </c>
    </row>
    <row r="33" spans="1:12" x14ac:dyDescent="0.3">
      <c r="B33" s="39" t="s">
        <v>86</v>
      </c>
      <c r="C33" s="39"/>
      <c r="D33" s="39"/>
      <c r="E33" s="39"/>
      <c r="I33" s="39" t="s">
        <v>86</v>
      </c>
      <c r="J33" s="39"/>
      <c r="K33" s="39"/>
      <c r="L33" s="39"/>
    </row>
    <row r="34" spans="1:12" x14ac:dyDescent="0.3">
      <c r="B34" s="1" t="s">
        <v>87</v>
      </c>
      <c r="C34" s="26" t="s">
        <v>88</v>
      </c>
      <c r="D34" s="8">
        <f>D9*(1+((D14/100)*(D30-D31)))</f>
        <v>53.287875</v>
      </c>
      <c r="E34" s="7" t="s">
        <v>41</v>
      </c>
      <c r="I34" s="1" t="s">
        <v>87</v>
      </c>
      <c r="J34" s="26" t="s">
        <v>88</v>
      </c>
      <c r="K34" s="8">
        <f>K9*(1+((K14/100)*(K30-K31)))</f>
        <v>53.287875</v>
      </c>
      <c r="L34" s="7" t="s">
        <v>41</v>
      </c>
    </row>
    <row r="35" spans="1:12" x14ac:dyDescent="0.3">
      <c r="B35" s="1" t="s">
        <v>89</v>
      </c>
      <c r="C35" s="4" t="s">
        <v>90</v>
      </c>
      <c r="D35" s="8">
        <f>D9*(1+((D14/100)*(D29-D31)))</f>
        <v>44.735500000000002</v>
      </c>
      <c r="E35" s="7" t="s">
        <v>41</v>
      </c>
      <c r="I35" s="1" t="s">
        <v>89</v>
      </c>
      <c r="J35" s="4" t="s">
        <v>90</v>
      </c>
      <c r="K35" s="8">
        <f>K9*(1+((K14/100)*(K29-K31)))</f>
        <v>44.735500000000002</v>
      </c>
      <c r="L35" s="7" t="s">
        <v>41</v>
      </c>
    </row>
    <row r="36" spans="1:12" x14ac:dyDescent="0.3">
      <c r="B36" s="1" t="s">
        <v>91</v>
      </c>
      <c r="C36" s="4" t="s">
        <v>92</v>
      </c>
      <c r="D36" s="8">
        <f>D10*(1+((D15/100)*(D30-D31)))</f>
        <v>44.343795</v>
      </c>
      <c r="E36" s="7" t="s">
        <v>41</v>
      </c>
      <c r="I36" s="1" t="s">
        <v>91</v>
      </c>
      <c r="J36" s="4" t="s">
        <v>92</v>
      </c>
      <c r="K36" s="8">
        <f>K10*(1+((K15/100)*(K30-K31)))</f>
        <v>44.343795</v>
      </c>
      <c r="L36" s="7" t="s">
        <v>41</v>
      </c>
    </row>
    <row r="37" spans="1:12" x14ac:dyDescent="0.3">
      <c r="B37" s="1" t="s">
        <v>93</v>
      </c>
      <c r="C37" s="4" t="s">
        <v>94</v>
      </c>
      <c r="D37" s="8">
        <f>D10*(1+((D15/100)*(D29-D31)))</f>
        <v>36.104460000000003</v>
      </c>
      <c r="E37" s="7" t="s">
        <v>41</v>
      </c>
      <c r="I37" s="1" t="s">
        <v>93</v>
      </c>
      <c r="J37" s="4" t="s">
        <v>94</v>
      </c>
      <c r="K37" s="8">
        <f>K10*(1+((K15/100)*(K29-K31)))</f>
        <v>36.104460000000003</v>
      </c>
      <c r="L37" s="7" t="s">
        <v>41</v>
      </c>
    </row>
    <row r="38" spans="1:12" x14ac:dyDescent="0.3">
      <c r="A38" s="49" t="s">
        <v>95</v>
      </c>
      <c r="B38" s="1" t="s">
        <v>96</v>
      </c>
      <c r="C38" s="4" t="s">
        <v>97</v>
      </c>
      <c r="D38" s="6">
        <f>ROUNDDOWN(D18/D34,0)</f>
        <v>20</v>
      </c>
      <c r="E38" s="7" t="s">
        <v>98</v>
      </c>
      <c r="I38" s="1" t="s">
        <v>96</v>
      </c>
      <c r="J38" s="4" t="s">
        <v>97</v>
      </c>
      <c r="K38" s="6">
        <f>ROUNDDOWN(K18/K34,0)</f>
        <v>20</v>
      </c>
      <c r="L38" s="7" t="s">
        <v>98</v>
      </c>
    </row>
    <row r="39" spans="1:12" x14ac:dyDescent="0.3">
      <c r="A39" s="49"/>
      <c r="B39" s="1" t="s">
        <v>99</v>
      </c>
      <c r="C39" s="4" t="s">
        <v>100</v>
      </c>
      <c r="D39" s="6">
        <f>ROUNDDOWN(D19/D36,0)</f>
        <v>22</v>
      </c>
      <c r="E39" s="7" t="s">
        <v>98</v>
      </c>
      <c r="I39" s="1" t="s">
        <v>99</v>
      </c>
      <c r="J39" s="4" t="s">
        <v>100</v>
      </c>
      <c r="K39" s="6">
        <f>ROUNDDOWN(K19/K36,0)</f>
        <v>22</v>
      </c>
      <c r="L39" s="7" t="s">
        <v>98</v>
      </c>
    </row>
    <row r="40" spans="1:12" x14ac:dyDescent="0.3">
      <c r="A40" s="49"/>
      <c r="B40" s="1" t="s">
        <v>101</v>
      </c>
      <c r="C40" s="4" t="s">
        <v>102</v>
      </c>
      <c r="D40" s="6">
        <f>ROUNDDOWN(D11/D34,0)</f>
        <v>28</v>
      </c>
      <c r="E40" s="7" t="s">
        <v>98</v>
      </c>
      <c r="I40" s="1" t="s">
        <v>101</v>
      </c>
      <c r="J40" s="4" t="s">
        <v>102</v>
      </c>
      <c r="K40" s="6">
        <f>ROUNDDOWN(K11/K34,0)</f>
        <v>28</v>
      </c>
      <c r="L40" s="7" t="s">
        <v>98</v>
      </c>
    </row>
    <row r="41" spans="1:12" x14ac:dyDescent="0.3">
      <c r="A41" s="49" t="s">
        <v>103</v>
      </c>
      <c r="B41" s="1" t="s">
        <v>104</v>
      </c>
      <c r="C41" s="4" t="s">
        <v>105</v>
      </c>
      <c r="D41" s="6">
        <f>ROUNDUP(D20/D37/D28,0)</f>
        <v>6</v>
      </c>
      <c r="E41" s="7" t="s">
        <v>98</v>
      </c>
      <c r="I41" s="1" t="s">
        <v>104</v>
      </c>
      <c r="J41" s="4" t="s">
        <v>105</v>
      </c>
      <c r="K41" s="6">
        <f>ROUNDUP(K20/K37/K28,0)</f>
        <v>6</v>
      </c>
      <c r="L41" s="7" t="s">
        <v>98</v>
      </c>
    </row>
    <row r="42" spans="1:12" x14ac:dyDescent="0.3">
      <c r="A42" s="49"/>
      <c r="B42" s="1" t="s">
        <v>106</v>
      </c>
      <c r="C42" s="4" t="s">
        <v>107</v>
      </c>
      <c r="D42" s="6">
        <f>ROUNDUP(D21/D35,0)</f>
        <v>5</v>
      </c>
      <c r="E42" s="7" t="s">
        <v>98</v>
      </c>
      <c r="I42" s="1" t="s">
        <v>106</v>
      </c>
      <c r="J42" s="4" t="s">
        <v>107</v>
      </c>
      <c r="K42" s="6">
        <f>ROUNDUP(K21/K35,0)</f>
        <v>5</v>
      </c>
      <c r="L42" s="7" t="s">
        <v>98</v>
      </c>
    </row>
    <row r="43" spans="1:12" x14ac:dyDescent="0.3">
      <c r="B43" s="1" t="s">
        <v>108</v>
      </c>
      <c r="C43" s="4" t="s">
        <v>109</v>
      </c>
      <c r="D43" s="6">
        <f>MIN(D38,D39,D40)</f>
        <v>20</v>
      </c>
      <c r="E43" s="7" t="s">
        <v>98</v>
      </c>
      <c r="I43" s="1" t="s">
        <v>108</v>
      </c>
      <c r="J43" s="4" t="s">
        <v>109</v>
      </c>
      <c r="K43" s="6">
        <f>MIN(K38,K39,K40)</f>
        <v>20</v>
      </c>
      <c r="L43" s="7" t="s">
        <v>98</v>
      </c>
    </row>
    <row r="44" spans="1:12" x14ac:dyDescent="0.3">
      <c r="B44" s="1" t="s">
        <v>110</v>
      </c>
      <c r="C44" s="4" t="s">
        <v>111</v>
      </c>
      <c r="D44" s="6">
        <f>MAX(D41,D42)</f>
        <v>6</v>
      </c>
      <c r="E44" s="7" t="s">
        <v>98</v>
      </c>
      <c r="I44" s="1" t="s">
        <v>110</v>
      </c>
      <c r="J44" s="4" t="s">
        <v>111</v>
      </c>
      <c r="K44" s="6">
        <f>MAX(K41,K42)</f>
        <v>6</v>
      </c>
      <c r="L44" s="7" t="s">
        <v>98</v>
      </c>
    </row>
    <row r="45" spans="1:12" x14ac:dyDescent="0.3">
      <c r="B45" s="1" t="s">
        <v>112</v>
      </c>
      <c r="C45" s="4" t="s">
        <v>113</v>
      </c>
      <c r="D45" s="6">
        <f>IF(D22="",70,((D22-D20)/(D19-D20))*100)</f>
        <v>50</v>
      </c>
      <c r="E45" s="7" t="s">
        <v>114</v>
      </c>
      <c r="I45" s="1" t="s">
        <v>112</v>
      </c>
      <c r="J45" s="4" t="s">
        <v>113</v>
      </c>
      <c r="K45" s="6">
        <f>IF(K22="",70,((K22-K20)/(K19-K20))*100)</f>
        <v>50</v>
      </c>
      <c r="L45" s="7" t="s">
        <v>114</v>
      </c>
    </row>
    <row r="46" spans="1:12" x14ac:dyDescent="0.3">
      <c r="A46" s="49" t="s">
        <v>115</v>
      </c>
      <c r="B46" s="1" t="s">
        <v>116</v>
      </c>
      <c r="C46" s="4" t="s">
        <v>117</v>
      </c>
      <c r="D46" s="10">
        <f>ROUNDDOWN(D44+(D45/100)*(D43-D44),0)</f>
        <v>13</v>
      </c>
      <c r="E46" s="11" t="s">
        <v>98</v>
      </c>
      <c r="I46" s="1" t="s">
        <v>116</v>
      </c>
      <c r="J46" s="4" t="s">
        <v>117</v>
      </c>
      <c r="K46" s="10">
        <f>ROUNDDOWN(K44+(K45/100)*(K43-K44),0)</f>
        <v>13</v>
      </c>
      <c r="L46" s="11" t="s">
        <v>98</v>
      </c>
    </row>
    <row r="47" spans="1:12" x14ac:dyDescent="0.3">
      <c r="A47" s="49"/>
      <c r="B47" s="1" t="s">
        <v>118</v>
      </c>
      <c r="C47" s="4" t="s">
        <v>119</v>
      </c>
      <c r="D47" s="24">
        <f>ROUNDUP(D44+(D45/100)*(D43-D44),0)</f>
        <v>13</v>
      </c>
      <c r="E47" s="11" t="s">
        <v>98</v>
      </c>
      <c r="I47" s="1" t="s">
        <v>118</v>
      </c>
      <c r="J47" s="4" t="s">
        <v>119</v>
      </c>
      <c r="K47" s="24">
        <f>ROUNDUP(K44+(K45/100)*(K43-K44),0)</f>
        <v>13</v>
      </c>
      <c r="L47" s="11" t="s">
        <v>98</v>
      </c>
    </row>
    <row r="48" spans="1:12" x14ac:dyDescent="0.3">
      <c r="A48" s="49"/>
      <c r="B48" s="1" t="s">
        <v>120</v>
      </c>
      <c r="C48" s="4" t="s">
        <v>121</v>
      </c>
      <c r="D48" s="24" t="str">
        <f>D46&amp;"-"&amp;D47</f>
        <v>13-13</v>
      </c>
      <c r="E48" s="11" t="s">
        <v>98</v>
      </c>
      <c r="I48" s="1"/>
      <c r="J48" s="4" t="s">
        <v>121</v>
      </c>
      <c r="K48" s="24" t="str">
        <f>K46&amp;"-"&amp;K47</f>
        <v>13-13</v>
      </c>
      <c r="L48" s="11" t="s">
        <v>98</v>
      </c>
    </row>
    <row r="49" spans="1:12" x14ac:dyDescent="0.3">
      <c r="A49" t="s">
        <v>122</v>
      </c>
      <c r="B49" s="1" t="s">
        <v>123</v>
      </c>
      <c r="C49" s="4" t="s">
        <v>124</v>
      </c>
      <c r="D49" s="12">
        <f>ROUNDDOWN(D23/(D12*D27),0)</f>
        <v>2</v>
      </c>
      <c r="E49" s="11" t="s">
        <v>125</v>
      </c>
      <c r="I49" s="1" t="s">
        <v>123</v>
      </c>
      <c r="J49" s="4" t="s">
        <v>124</v>
      </c>
      <c r="K49" s="12">
        <f>ROUNDDOWN(K23/(K12*K27),0)</f>
        <v>2</v>
      </c>
      <c r="L49" s="11" t="s">
        <v>125</v>
      </c>
    </row>
    <row r="51" spans="1:12" x14ac:dyDescent="0.3">
      <c r="B51" s="36" t="s">
        <v>126</v>
      </c>
      <c r="C51" s="38"/>
      <c r="D51" s="38"/>
      <c r="E51" s="37"/>
      <c r="I51" s="36" t="s">
        <v>126</v>
      </c>
      <c r="J51" s="38"/>
      <c r="K51" s="38"/>
      <c r="L51" s="37"/>
    </row>
    <row r="52" spans="1:12" x14ac:dyDescent="0.3">
      <c r="B52" s="1" t="s">
        <v>127</v>
      </c>
      <c r="C52" s="1" t="s">
        <v>128</v>
      </c>
      <c r="D52" s="5">
        <v>190</v>
      </c>
      <c r="E52" s="25" t="s">
        <v>98</v>
      </c>
      <c r="I52" s="1" t="s">
        <v>127</v>
      </c>
      <c r="J52" s="1" t="s">
        <v>128</v>
      </c>
      <c r="K52" s="5">
        <v>107</v>
      </c>
      <c r="L52" s="25" t="s">
        <v>98</v>
      </c>
    </row>
    <row r="53" spans="1:12" x14ac:dyDescent="0.3">
      <c r="B53" s="1" t="s">
        <v>129</v>
      </c>
      <c r="C53" s="1" t="s">
        <v>130</v>
      </c>
      <c r="D53" s="22">
        <f>ROUNDDOWN(D52/D24,0)</f>
        <v>19</v>
      </c>
      <c r="E53" s="23" t="s">
        <v>98</v>
      </c>
      <c r="I53" s="1" t="s">
        <v>129</v>
      </c>
      <c r="J53" s="1" t="s">
        <v>130</v>
      </c>
      <c r="K53" s="22">
        <f>ROUNDDOWN(K52/K24,0)</f>
        <v>26</v>
      </c>
      <c r="L53" s="23" t="s">
        <v>98</v>
      </c>
    </row>
    <row r="54" spans="1:12" x14ac:dyDescent="0.3">
      <c r="B54" s="1" t="s">
        <v>131</v>
      </c>
      <c r="C54" s="1" t="s">
        <v>132</v>
      </c>
      <c r="D54" s="22">
        <f>ROUNDDOWN(D53/D47,0)</f>
        <v>1</v>
      </c>
      <c r="E54" s="23" t="s">
        <v>133</v>
      </c>
      <c r="I54" s="1" t="s">
        <v>131</v>
      </c>
      <c r="J54" s="1" t="s">
        <v>132</v>
      </c>
      <c r="K54" s="22">
        <f>ROUNDDOWN(K53/K47,0)</f>
        <v>2</v>
      </c>
      <c r="L54" s="23" t="s">
        <v>133</v>
      </c>
    </row>
    <row r="57" spans="1:12" x14ac:dyDescent="0.3">
      <c r="B57" s="47" t="s">
        <v>134</v>
      </c>
      <c r="C57" s="47"/>
      <c r="D57" s="47"/>
      <c r="E57" s="47"/>
      <c r="I57" s="47" t="s">
        <v>134</v>
      </c>
      <c r="J57" s="47"/>
      <c r="K57" s="47"/>
      <c r="L57" s="47"/>
    </row>
    <row r="58" spans="1:12" x14ac:dyDescent="0.3">
      <c r="B58" s="40" t="str">
        <f>"Each MPPT with "&amp;D53&amp;" number of panels, each MPPT has "&amp;D25&amp;" input:"</f>
        <v>Each MPPT with 19 number of panels, each MPPT has 2 input:</v>
      </c>
      <c r="C58" s="41"/>
      <c r="D58" s="41"/>
      <c r="E58" s="42"/>
      <c r="I58" s="50" t="str">
        <f>"Each MPPT with "&amp;K53&amp;" number of panels, each MPPT has "&amp;K25&amp;" input:"</f>
        <v>Each MPPT with 26 number of panels, each MPPT has 8 input:</v>
      </c>
      <c r="J58" s="51"/>
      <c r="K58" s="51"/>
      <c r="L58" s="52"/>
    </row>
    <row r="59" spans="1:12" x14ac:dyDescent="0.3">
      <c r="B59" s="43" t="str">
        <f>"MPPT Input A: "&amp;ROUNDUP(D53/D54,0)&amp;" panels"</f>
        <v>MPPT Input A: 19 panels</v>
      </c>
      <c r="C59" s="44"/>
      <c r="D59" s="44"/>
      <c r="E59" s="45"/>
      <c r="I59" s="53" t="str">
        <f>"MPPT Input A: "&amp;ROUNDUP(K53/K54,0)&amp;" panels"</f>
        <v>MPPT Input A: 13 panels</v>
      </c>
      <c r="J59" s="54"/>
      <c r="K59" s="54"/>
      <c r="L59" s="55"/>
    </row>
    <row r="60" spans="1:12" x14ac:dyDescent="0.3">
      <c r="B60" s="43" t="str">
        <f>IF(D54&gt;1,"MPPT Input B: "&amp;ROUNDDOWN(D53/D54,0)&amp;" panels","MPPT Input B: Not in use")</f>
        <v>MPPT Input B: Not in use</v>
      </c>
      <c r="C60" s="44"/>
      <c r="D60" s="44"/>
      <c r="E60" s="45"/>
      <c r="I60" s="53" t="str">
        <f>IF(K54&gt;1,"MPPT Input B: "&amp;ROUNDDOWN(K53/K54,0)&amp;" panels","MPPT Input B: Not in use")</f>
        <v>MPPT Input B: 13 panels</v>
      </c>
      <c r="J60" s="54"/>
      <c r="K60" s="54"/>
      <c r="L60" s="55"/>
    </row>
    <row r="61" spans="1:12" x14ac:dyDescent="0.3">
      <c r="B61" s="46" t="str">
        <f>IF(D25=3,IF(D55&gt;2,"MPPT Input C: "&amp;ROUNDDOWN(D54/D55,0)&amp;" panels","MPPT Input C: Not in use"),"")</f>
        <v/>
      </c>
      <c r="C61" s="46"/>
      <c r="D61" s="46"/>
      <c r="E61" s="46"/>
      <c r="I61" s="48" t="str">
        <f>IF(K25=3,IF(K55&gt;2,"MPPT Input C: "&amp;ROUNDDOWN(K54/K55,0)&amp;" panels","MPPT Input C: Not in use"),"")</f>
        <v/>
      </c>
      <c r="J61" s="48"/>
      <c r="K61" s="48"/>
      <c r="L61" s="48"/>
    </row>
    <row r="62" spans="1:12" x14ac:dyDescent="0.3">
      <c r="B62" s="1" t="s">
        <v>135</v>
      </c>
      <c r="C62" s="1" t="s">
        <v>128</v>
      </c>
      <c r="D62" s="15">
        <f>D53*D24</f>
        <v>190</v>
      </c>
      <c r="E62" s="16" t="s">
        <v>98</v>
      </c>
      <c r="I62" s="1" t="s">
        <v>135</v>
      </c>
      <c r="J62" s="1" t="s">
        <v>128</v>
      </c>
      <c r="K62" s="15">
        <f>K53*K24</f>
        <v>104</v>
      </c>
      <c r="L62" s="16" t="s">
        <v>98</v>
      </c>
    </row>
    <row r="63" spans="1:12" x14ac:dyDescent="0.3">
      <c r="B63" s="1" t="s">
        <v>136</v>
      </c>
      <c r="C63" s="1"/>
      <c r="D63" s="15">
        <f>D62*D8/1000</f>
        <v>112.1</v>
      </c>
      <c r="E63" s="16" t="s">
        <v>26</v>
      </c>
      <c r="I63" s="1" t="s">
        <v>136</v>
      </c>
      <c r="J63" s="1"/>
      <c r="K63" s="15">
        <f>K62*K8/1000</f>
        <v>61.36</v>
      </c>
      <c r="L63" s="16" t="s">
        <v>26</v>
      </c>
    </row>
    <row r="64" spans="1:12" x14ac:dyDescent="0.3">
      <c r="B64" s="1" t="s">
        <v>137</v>
      </c>
      <c r="C64" s="1"/>
      <c r="D64" s="8">
        <f>D63/D17</f>
        <v>1.121</v>
      </c>
      <c r="E64" s="9"/>
      <c r="I64" s="1" t="s">
        <v>137</v>
      </c>
      <c r="J64" s="1"/>
      <c r="K64" s="8">
        <f>K63/K17</f>
        <v>1.2272000000000001</v>
      </c>
      <c r="L64" s="9"/>
    </row>
    <row r="65" spans="2:15" x14ac:dyDescent="0.3">
      <c r="B65" s="1" t="s">
        <v>138</v>
      </c>
      <c r="C65" s="1" t="s">
        <v>139</v>
      </c>
      <c r="D65" s="1">
        <f>D34*D53/D54</f>
        <v>1012.469625</v>
      </c>
      <c r="E65" s="19" t="s">
        <v>140</v>
      </c>
      <c r="F65" s="14">
        <f>D18</f>
        <v>1100</v>
      </c>
      <c r="G65" s="14" t="str">
        <f>IF(D65&lt;F65,"PASS","FAIL")</f>
        <v>PASS</v>
      </c>
      <c r="H65" s="14"/>
      <c r="I65" s="1" t="s">
        <v>138</v>
      </c>
      <c r="J65" s="1" t="s">
        <v>139</v>
      </c>
      <c r="K65" s="1">
        <f>K34*K53/K54</f>
        <v>692.74237500000004</v>
      </c>
      <c r="L65" s="19" t="s">
        <v>140</v>
      </c>
      <c r="M65" s="14">
        <f>K18</f>
        <v>1100</v>
      </c>
      <c r="N65" s="14" t="str">
        <f>IF(K65&lt;M65,"PASS","FAIL")</f>
        <v>PASS</v>
      </c>
      <c r="O65" s="14"/>
    </row>
    <row r="66" spans="2:15" x14ac:dyDescent="0.3">
      <c r="B66" s="1" t="s">
        <v>141</v>
      </c>
      <c r="C66" s="1" t="s">
        <v>142</v>
      </c>
      <c r="D66" s="1">
        <f>D35*D53/D54</f>
        <v>849.97450000000003</v>
      </c>
      <c r="E66" s="19" t="s">
        <v>143</v>
      </c>
      <c r="F66" s="14">
        <f>D21</f>
        <v>200</v>
      </c>
      <c r="G66" s="14" t="str">
        <f>IF(D66&gt;F66,"PASS","FAIL")</f>
        <v>PASS</v>
      </c>
      <c r="H66" s="14"/>
      <c r="I66" s="1" t="s">
        <v>141</v>
      </c>
      <c r="J66" s="1" t="s">
        <v>142</v>
      </c>
      <c r="K66" s="1">
        <f>K35*K53/K54</f>
        <v>581.56150000000002</v>
      </c>
      <c r="L66" s="19" t="s">
        <v>143</v>
      </c>
      <c r="M66" s="14">
        <f>K21</f>
        <v>200</v>
      </c>
      <c r="N66" s="14" t="str">
        <f>IF(K66&gt;M66,"PASS","FAIL")</f>
        <v>PASS</v>
      </c>
      <c r="O66" s="14"/>
    </row>
    <row r="67" spans="2:15" x14ac:dyDescent="0.3">
      <c r="B67" s="1" t="s">
        <v>144</v>
      </c>
      <c r="C67" s="1" t="s">
        <v>145</v>
      </c>
      <c r="D67" s="1">
        <f>D36*D53/D54</f>
        <v>842.532105</v>
      </c>
      <c r="E67" s="19" t="s">
        <v>140</v>
      </c>
      <c r="F67" s="14">
        <f>D19</f>
        <v>1000</v>
      </c>
      <c r="G67" s="14" t="str">
        <f t="shared" ref="G67" si="0">IF(D67&lt;F67,"PASS","FAIL")</f>
        <v>PASS</v>
      </c>
      <c r="H67" s="14"/>
      <c r="I67" s="1" t="s">
        <v>144</v>
      </c>
      <c r="J67" s="1" t="s">
        <v>145</v>
      </c>
      <c r="K67" s="1">
        <f>K36*K53/K54</f>
        <v>576.469335</v>
      </c>
      <c r="L67" s="19" t="s">
        <v>140</v>
      </c>
      <c r="M67" s="14">
        <f>K19</f>
        <v>1000</v>
      </c>
      <c r="N67" s="14" t="str">
        <f t="shared" ref="N67" si="1">IF(K67&lt;M67,"PASS","FAIL")</f>
        <v>PASS</v>
      </c>
      <c r="O67" s="14"/>
    </row>
    <row r="68" spans="2:15" x14ac:dyDescent="0.3">
      <c r="B68" s="1" t="s">
        <v>146</v>
      </c>
      <c r="C68" s="1" t="s">
        <v>147</v>
      </c>
      <c r="D68" s="1">
        <f>D37*D53/D54</f>
        <v>685.9847400000001</v>
      </c>
      <c r="E68" s="19" t="s">
        <v>143</v>
      </c>
      <c r="F68" s="14">
        <f>D20</f>
        <v>200</v>
      </c>
      <c r="G68" s="14" t="str">
        <f>IF(D68&gt;F68,"PASS","FAIL")</f>
        <v>PASS</v>
      </c>
      <c r="H68" s="14"/>
      <c r="I68" s="1" t="s">
        <v>146</v>
      </c>
      <c r="J68" s="1" t="s">
        <v>147</v>
      </c>
      <c r="K68" s="1">
        <f>K37*K53/K54</f>
        <v>469.35798000000005</v>
      </c>
      <c r="L68" s="19" t="s">
        <v>143</v>
      </c>
      <c r="M68" s="14">
        <f>K20</f>
        <v>200</v>
      </c>
      <c r="N68" s="14" t="str">
        <f>IF(K68&gt;M68,"PASS","FAIL")</f>
        <v>PASS</v>
      </c>
      <c r="O68" s="14"/>
    </row>
  </sheetData>
  <mergeCells count="33">
    <mergeCell ref="I61:L61"/>
    <mergeCell ref="A38:A40"/>
    <mergeCell ref="A41:A42"/>
    <mergeCell ref="A46:A48"/>
    <mergeCell ref="I33:L33"/>
    <mergeCell ref="I51:L51"/>
    <mergeCell ref="I57:L57"/>
    <mergeCell ref="I58:L58"/>
    <mergeCell ref="I59:L59"/>
    <mergeCell ref="I60:L60"/>
    <mergeCell ref="B60:E60"/>
    <mergeCell ref="B61:E61"/>
    <mergeCell ref="B51:E51"/>
    <mergeCell ref="B33:E33"/>
    <mergeCell ref="B57:E57"/>
    <mergeCell ref="B26:E26"/>
    <mergeCell ref="B16:E16"/>
    <mergeCell ref="I26:L26"/>
    <mergeCell ref="B58:E58"/>
    <mergeCell ref="B59:E59"/>
    <mergeCell ref="I16:L16"/>
    <mergeCell ref="C2:E2"/>
    <mergeCell ref="C3:E3"/>
    <mergeCell ref="J2:L2"/>
    <mergeCell ref="J3:L3"/>
    <mergeCell ref="D7:E7"/>
    <mergeCell ref="B7:C7"/>
    <mergeCell ref="C4:E4"/>
    <mergeCell ref="B6:E6"/>
    <mergeCell ref="J4:L4"/>
    <mergeCell ref="I6:L6"/>
    <mergeCell ref="I7:J7"/>
    <mergeCell ref="K7:L7"/>
  </mergeCells>
  <pageMargins left="0.7" right="0.7" top="0.75" bottom="0.75" header="0.3" footer="0.3"/>
  <pageSetup paperSize="9" orientation="portrait" verticalDpi="0" r:id="rId1"/>
  <ignoredErrors>
    <ignoredError sqref="G66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E963-E506-40B5-A4FC-13AF06E9D40B}">
  <dimension ref="D2:J60"/>
  <sheetViews>
    <sheetView tabSelected="1" zoomScale="85" zoomScaleNormal="85" workbookViewId="0">
      <selection activeCell="Q28" sqref="Q28"/>
    </sheetView>
  </sheetViews>
  <sheetFormatPr defaultRowHeight="14.4" x14ac:dyDescent="0.3"/>
  <cols>
    <col min="1" max="3" width="11.33203125" customWidth="1"/>
    <col min="4" max="4" width="30.109375" customWidth="1"/>
    <col min="5" max="5" width="12" customWidth="1"/>
    <col min="25" max="25" width="11.5546875" customWidth="1"/>
  </cols>
  <sheetData>
    <row r="2" spans="4:7" x14ac:dyDescent="0.3">
      <c r="D2" s="56" t="s">
        <v>169</v>
      </c>
      <c r="E2" s="58"/>
      <c r="F2" s="57"/>
    </row>
    <row r="3" spans="4:7" x14ac:dyDescent="0.3">
      <c r="D3" s="1" t="s">
        <v>148</v>
      </c>
      <c r="E3" s="60">
        <v>100</v>
      </c>
      <c r="F3" s="25" t="s">
        <v>159</v>
      </c>
      <c r="G3" t="s">
        <v>149</v>
      </c>
    </row>
    <row r="4" spans="4:7" x14ac:dyDescent="0.3">
      <c r="D4" s="30" t="s">
        <v>150</v>
      </c>
      <c r="E4" s="70">
        <f>VLOOKUP(D4, D52:E53, 2, FALSE)</f>
        <v>1.7857142857142856E-2</v>
      </c>
      <c r="F4" s="71"/>
      <c r="G4" t="s">
        <v>151</v>
      </c>
    </row>
    <row r="5" spans="4:7" x14ac:dyDescent="0.3">
      <c r="D5" s="1" t="s">
        <v>166</v>
      </c>
      <c r="E5" s="60">
        <v>13.5</v>
      </c>
      <c r="F5" s="25" t="s">
        <v>48</v>
      </c>
    </row>
    <row r="6" spans="4:7" x14ac:dyDescent="0.3">
      <c r="D6" s="1" t="s">
        <v>167</v>
      </c>
      <c r="E6" s="61">
        <v>43.71</v>
      </c>
      <c r="F6" s="3" t="s">
        <v>41</v>
      </c>
    </row>
    <row r="7" spans="4:7" x14ac:dyDescent="0.3">
      <c r="D7" s="1" t="s">
        <v>168</v>
      </c>
      <c r="E7" s="60">
        <v>-0.28999999999999998</v>
      </c>
      <c r="F7" s="25" t="s">
        <v>51</v>
      </c>
    </row>
    <row r="8" spans="4:7" x14ac:dyDescent="0.3">
      <c r="D8" s="1" t="s">
        <v>173</v>
      </c>
      <c r="E8" s="60">
        <v>13</v>
      </c>
      <c r="F8" s="25" t="s">
        <v>98</v>
      </c>
    </row>
    <row r="9" spans="4:7" x14ac:dyDescent="0.3">
      <c r="D9" s="1" t="s">
        <v>152</v>
      </c>
      <c r="E9" s="62">
        <v>3</v>
      </c>
      <c r="F9" s="25" t="s">
        <v>114</v>
      </c>
      <c r="G9" t="s">
        <v>153</v>
      </c>
    </row>
    <row r="10" spans="4:7" x14ac:dyDescent="0.3">
      <c r="D10" s="1" t="s">
        <v>154</v>
      </c>
      <c r="E10" s="66">
        <v>85</v>
      </c>
      <c r="F10" s="67" t="s">
        <v>81</v>
      </c>
      <c r="G10" t="s">
        <v>155</v>
      </c>
    </row>
    <row r="11" spans="4:7" x14ac:dyDescent="0.3">
      <c r="D11" s="8" t="s">
        <v>156</v>
      </c>
      <c r="E11" s="69">
        <f>(2*E3*(E5*1.25)*(E4))/((E9/100)*(E6*(1+((E7/100)*(E10-25)))*0.98)*E8)</f>
        <v>4.3675130732892269</v>
      </c>
      <c r="F11" s="68" t="s">
        <v>157</v>
      </c>
    </row>
    <row r="12" spans="4:7" x14ac:dyDescent="0.3">
      <c r="D12" s="8" t="s">
        <v>172</v>
      </c>
      <c r="E12" s="15">
        <f>IF(E11&lt;=G57,H57,IF(E11&lt;=G58,H58,IF(E11&lt;=G59,H59,IF(E11&lt;=G60,H60,"Out of Range"))))</f>
        <v>6</v>
      </c>
      <c r="F12" s="16" t="s">
        <v>157</v>
      </c>
    </row>
    <row r="13" spans="4:7" x14ac:dyDescent="0.3">
      <c r="D13" s="59" t="s">
        <v>174</v>
      </c>
      <c r="E13" s="72">
        <f>(2*E3*(E5*1.25)*E4)/E12</f>
        <v>10.044642857142856</v>
      </c>
      <c r="F13" s="65" t="s">
        <v>41</v>
      </c>
    </row>
    <row r="14" spans="4:7" x14ac:dyDescent="0.3">
      <c r="D14" s="59" t="s">
        <v>175</v>
      </c>
      <c r="E14" s="72">
        <f>(E13/((E6*(1+((E7/100)*(E10-25))))*21))*100</f>
        <v>1.3248122988977322</v>
      </c>
      <c r="F14" s="65" t="s">
        <v>114</v>
      </c>
    </row>
    <row r="16" spans="4:7" x14ac:dyDescent="0.3">
      <c r="D16" s="56" t="s">
        <v>179</v>
      </c>
      <c r="E16" s="58"/>
      <c r="F16" s="57"/>
    </row>
    <row r="17" spans="4:6" x14ac:dyDescent="0.3">
      <c r="D17" s="20" t="s">
        <v>176</v>
      </c>
      <c r="E17" s="5">
        <v>50</v>
      </c>
      <c r="F17" s="25" t="s">
        <v>57</v>
      </c>
    </row>
    <row r="18" spans="4:6" x14ac:dyDescent="0.3">
      <c r="D18" s="1" t="s">
        <v>177</v>
      </c>
      <c r="E18" s="5">
        <v>72.2</v>
      </c>
      <c r="F18" s="25" t="s">
        <v>48</v>
      </c>
    </row>
    <row r="19" spans="4:6" x14ac:dyDescent="0.3">
      <c r="D19" s="1" t="s">
        <v>158</v>
      </c>
      <c r="E19" s="5">
        <v>150</v>
      </c>
      <c r="F19" s="25" t="s">
        <v>159</v>
      </c>
    </row>
    <row r="20" spans="4:6" x14ac:dyDescent="0.3">
      <c r="D20" s="30" t="s">
        <v>150</v>
      </c>
      <c r="E20" s="70">
        <f>VLOOKUP(D20, D52:E53, 2, FALSE)</f>
        <v>1.7857142857142856E-2</v>
      </c>
      <c r="F20" s="71"/>
    </row>
    <row r="21" spans="4:6" x14ac:dyDescent="0.3">
      <c r="D21" s="1" t="s">
        <v>160</v>
      </c>
      <c r="E21" s="64">
        <v>0.85</v>
      </c>
      <c r="F21" s="63"/>
    </row>
    <row r="22" spans="4:6" x14ac:dyDescent="0.3">
      <c r="D22" s="1" t="s">
        <v>161</v>
      </c>
      <c r="E22" s="74">
        <v>3</v>
      </c>
      <c r="F22" s="25" t="s">
        <v>114</v>
      </c>
    </row>
    <row r="23" spans="4:6" x14ac:dyDescent="0.3">
      <c r="D23" s="17" t="s">
        <v>180</v>
      </c>
      <c r="E23" s="8">
        <v>230</v>
      </c>
      <c r="F23" s="73" t="s">
        <v>41</v>
      </c>
    </row>
    <row r="24" spans="4:6" x14ac:dyDescent="0.3">
      <c r="D24" s="1" t="s">
        <v>156</v>
      </c>
      <c r="E24" s="72">
        <f>ROUNDUP((2*E19*E18*E20*E21)/(E22*(E23/100)),0)</f>
        <v>48</v>
      </c>
      <c r="F24" s="16" t="s">
        <v>157</v>
      </c>
    </row>
    <row r="27" spans="4:6" x14ac:dyDescent="0.3">
      <c r="D27" s="56" t="s">
        <v>178</v>
      </c>
      <c r="E27" s="58"/>
      <c r="F27" s="57"/>
    </row>
    <row r="28" spans="4:6" x14ac:dyDescent="0.3">
      <c r="D28" s="20" t="s">
        <v>176</v>
      </c>
      <c r="E28" s="5">
        <v>50</v>
      </c>
      <c r="F28" s="25" t="s">
        <v>57</v>
      </c>
    </row>
    <row r="29" spans="4:6" x14ac:dyDescent="0.3">
      <c r="D29" s="1" t="s">
        <v>177</v>
      </c>
      <c r="E29" s="5">
        <v>72.2</v>
      </c>
      <c r="F29" s="25" t="s">
        <v>48</v>
      </c>
    </row>
    <row r="30" spans="4:6" x14ac:dyDescent="0.3">
      <c r="D30" s="1" t="s">
        <v>158</v>
      </c>
      <c r="E30" s="5">
        <v>150</v>
      </c>
      <c r="F30" s="25" t="s">
        <v>159</v>
      </c>
    </row>
    <row r="31" spans="4:6" x14ac:dyDescent="0.3">
      <c r="D31" s="30" t="s">
        <v>150</v>
      </c>
      <c r="E31" s="70">
        <f>VLOOKUP(D31, D52:E53, 2, FALSE)</f>
        <v>1.7857142857142856E-2</v>
      </c>
      <c r="F31" s="71"/>
    </row>
    <row r="32" spans="4:6" x14ac:dyDescent="0.3">
      <c r="D32" s="1" t="s">
        <v>160</v>
      </c>
      <c r="E32" s="64">
        <v>0.85</v>
      </c>
      <c r="F32" s="63"/>
    </row>
    <row r="33" spans="4:6" x14ac:dyDescent="0.3">
      <c r="D33" s="1" t="s">
        <v>161</v>
      </c>
      <c r="E33" s="74">
        <v>3</v>
      </c>
      <c r="F33" s="25" t="s">
        <v>114</v>
      </c>
    </row>
    <row r="34" spans="4:6" x14ac:dyDescent="0.3">
      <c r="D34" s="17" t="s">
        <v>180</v>
      </c>
      <c r="E34" s="8">
        <v>400</v>
      </c>
      <c r="F34" s="73" t="s">
        <v>41</v>
      </c>
    </row>
    <row r="35" spans="4:6" x14ac:dyDescent="0.3">
      <c r="D35" s="1" t="s">
        <v>156</v>
      </c>
      <c r="E35" s="72">
        <f>ROUNDUP((SQRT(3)*2*E30*E29*E31*E32)/(E33*(E34/100)),0)</f>
        <v>48</v>
      </c>
      <c r="F35" s="16" t="s">
        <v>157</v>
      </c>
    </row>
    <row r="49" spans="4:10" x14ac:dyDescent="0.3">
      <c r="E49" s="18"/>
      <c r="G49">
        <f>1+((E7/100)*(E10-25))</f>
        <v>0.82600000000000007</v>
      </c>
      <c r="I49">
        <f>(2*E3*(E5*1.25)*(1/34))/(6)</f>
        <v>16.544117647058822</v>
      </c>
      <c r="J49" t="s">
        <v>41</v>
      </c>
    </row>
    <row r="50" spans="4:10" x14ac:dyDescent="0.3">
      <c r="E50" s="18"/>
      <c r="I50">
        <f>E6*E8</f>
        <v>568.23</v>
      </c>
    </row>
    <row r="51" spans="4:10" x14ac:dyDescent="0.3">
      <c r="I51">
        <f>(E6*E8)-I49</f>
        <v>551.68588235294123</v>
      </c>
    </row>
    <row r="52" spans="4:10" x14ac:dyDescent="0.3">
      <c r="D52" t="s">
        <v>150</v>
      </c>
      <c r="E52" s="18">
        <v>1.7857142857142856E-2</v>
      </c>
      <c r="I52" s="13">
        <f>1-(I51/I50)</f>
        <v>2.9115178091721261E-2</v>
      </c>
    </row>
    <row r="53" spans="4:10" x14ac:dyDescent="0.3">
      <c r="D53" t="s">
        <v>162</v>
      </c>
      <c r="E53" s="18">
        <v>2.9411764705882353E-2</v>
      </c>
    </row>
    <row r="56" spans="4:10" x14ac:dyDescent="0.3">
      <c r="F56" t="s">
        <v>163</v>
      </c>
      <c r="G56" t="s">
        <v>164</v>
      </c>
      <c r="H56" t="s">
        <v>165</v>
      </c>
    </row>
    <row r="57" spans="4:10" x14ac:dyDescent="0.3">
      <c r="F57">
        <v>0</v>
      </c>
      <c r="G57">
        <v>2.5</v>
      </c>
      <c r="H57">
        <v>2.5</v>
      </c>
    </row>
    <row r="58" spans="4:10" x14ac:dyDescent="0.3">
      <c r="F58">
        <v>2.5009999999999999</v>
      </c>
      <c r="G58">
        <v>4</v>
      </c>
      <c r="H58">
        <v>4</v>
      </c>
    </row>
    <row r="59" spans="4:10" x14ac:dyDescent="0.3">
      <c r="F59">
        <v>4.0010000000000003</v>
      </c>
      <c r="G59">
        <v>6</v>
      </c>
      <c r="H59">
        <v>6</v>
      </c>
    </row>
    <row r="60" spans="4:10" x14ac:dyDescent="0.3">
      <c r="F60">
        <v>6.0010000000000003</v>
      </c>
      <c r="G60">
        <v>10</v>
      </c>
      <c r="H60">
        <v>10</v>
      </c>
    </row>
  </sheetData>
  <mergeCells count="8">
    <mergeCell ref="E32:F32"/>
    <mergeCell ref="D16:F16"/>
    <mergeCell ref="D27:F27"/>
    <mergeCell ref="D2:F2"/>
    <mergeCell ref="E4:F4"/>
    <mergeCell ref="E20:F20"/>
    <mergeCell ref="E21:F21"/>
    <mergeCell ref="E31:F31"/>
  </mergeCells>
  <dataValidations count="1">
    <dataValidation type="list" showInputMessage="1" showErrorMessage="1" sqref="D4 D20 D31" xr:uid="{52CF7FEE-A341-4692-BEFC-890ECB5D7716}">
      <formula1>$D$52:$D$53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Space Based Calculation</vt:lpstr>
      <vt:lpstr>Inverter Sizing</vt:lpstr>
      <vt:lpstr>Cable sizing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Yongkian Ang</dc:creator>
  <cp:keywords/>
  <dc:description/>
  <cp:lastModifiedBy>Yongkian Ang</cp:lastModifiedBy>
  <cp:revision/>
  <dcterms:created xsi:type="dcterms:W3CDTF">2025-09-17T07:06:20Z</dcterms:created>
  <dcterms:modified xsi:type="dcterms:W3CDTF">2025-09-19T08:27:42Z</dcterms:modified>
  <cp:category/>
  <cp:contentStatus/>
</cp:coreProperties>
</file>